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deo\Downloads\"/>
    </mc:Choice>
  </mc:AlternateContent>
  <xr:revisionPtr revIDLastSave="0" documentId="8_{3FB60089-C215-4437-9B80-19EB8D9BED4D}" xr6:coauthVersionLast="47" xr6:coauthVersionMax="47" xr10:uidLastSave="{00000000-0000-0000-0000-000000000000}"/>
  <bookViews>
    <workbookView xWindow="-108" yWindow="-108" windowWidth="23256" windowHeight="13896" activeTab="1" xr2:uid="{FF74BAC0-7DB2-462E-812B-DE52C987A12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H5" i="1"/>
  <c r="H6" i="1"/>
  <c r="H3" i="1"/>
  <c r="E4" i="1"/>
  <c r="E5" i="1"/>
  <c r="E6" i="1"/>
  <c r="E3" i="1"/>
  <c r="C4" i="1"/>
  <c r="C5" i="1"/>
  <c r="C6" i="1"/>
  <c r="C3" i="1"/>
</calcChain>
</file>

<file path=xl/sharedStrings.xml><?xml version="1.0" encoding="utf-8"?>
<sst xmlns="http://schemas.openxmlformats.org/spreadsheetml/2006/main" count="30" uniqueCount="28">
  <si>
    <t>Fiscal Year</t>
  </si>
  <si>
    <t>Net Profit</t>
  </si>
  <si>
    <t>Total Assets</t>
  </si>
  <si>
    <t>¥480,376 million</t>
  </si>
  <si>
    <t>¥477,691 million</t>
  </si>
  <si>
    <t>¥432,768 million</t>
  </si>
  <si>
    <t>¥573,849 million</t>
  </si>
  <si>
    <t>¥278,806 million</t>
  </si>
  <si>
    <t>¥2.446 trillion</t>
  </si>
  <si>
    <t>¥2.662 trillion</t>
  </si>
  <si>
    <t>¥2.854 trillion</t>
  </si>
  <si>
    <t>¥3.151 trillion</t>
  </si>
  <si>
    <t>¥3.398 trillion</t>
  </si>
  <si>
    <t>Metric</t>
  </si>
  <si>
    <t>%Change</t>
  </si>
  <si>
    <t>Hardware Units Sold</t>
  </si>
  <si>
    <t>Software Units Sold</t>
  </si>
  <si>
    <t>Digital Sales</t>
  </si>
  <si>
    <t>10.80 million</t>
  </si>
  <si>
    <t>155.41 million</t>
  </si>
  <si>
    <t>¥326 billion</t>
  </si>
  <si>
    <t>15.70 million</t>
  </si>
  <si>
    <t>199.76 million</t>
  </si>
  <si>
    <t>¥443.5 billion</t>
  </si>
  <si>
    <t>Net Sales (¥ Trillion)</t>
  </si>
  <si>
    <t>%C</t>
  </si>
  <si>
    <t>Cash &amp; Equivalents (¥ Million</t>
  </si>
  <si>
    <t>Operating Profit (¥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</si>
</sst>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1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BC3C-D1C9-4C92-9742-0C64C1AB082D}">
  <dimension ref="A1:I6"/>
  <sheetViews>
    <sheetView workbookViewId="0">
      <selection activeCell="B3" sqref="B3"/>
    </sheetView>
  </sheetViews>
  <sheetFormatPr defaultRowHeight="14.4" x14ac:dyDescent="0.3"/>
  <cols>
    <col min="1" max="1" width="15.77734375" style="1" customWidth="1"/>
    <col min="2" max="2" width="26.5546875" style="1" customWidth="1"/>
    <col min="3" max="3" width="8.21875" style="1" customWidth="1"/>
    <col min="4" max="4" width="28.21875" style="1" customWidth="1"/>
    <col min="5" max="5" width="8.109375" style="1" customWidth="1"/>
    <col min="6" max="6" width="16.21875" style="1" customWidth="1"/>
    <col min="7" max="7" width="33.77734375" style="1" customWidth="1"/>
    <col min="8" max="8" width="13.6640625" style="1" customWidth="1"/>
    <col min="9" max="9" width="14.21875" style="1" customWidth="1"/>
    <col min="10" max="16384" width="8.88671875" style="1"/>
  </cols>
  <sheetData>
    <row r="1" spans="1:9" x14ac:dyDescent="0.3">
      <c r="A1" s="2" t="s">
        <v>0</v>
      </c>
      <c r="B1" s="2" t="s">
        <v>24</v>
      </c>
      <c r="C1" s="2" t="s">
        <v>25</v>
      </c>
      <c r="D1" s="3" t="s">
        <v>27</v>
      </c>
      <c r="E1" s="3" t="s">
        <v>25</v>
      </c>
      <c r="F1" s="2" t="s">
        <v>1</v>
      </c>
      <c r="G1" s="3" t="s">
        <v>26</v>
      </c>
      <c r="H1" s="3" t="s">
        <v>25</v>
      </c>
      <c r="I1" s="3" t="s">
        <v>2</v>
      </c>
    </row>
    <row r="2" spans="1:9" x14ac:dyDescent="0.3">
      <c r="A2" s="1">
        <v>2021</v>
      </c>
      <c r="B2" s="1">
        <v>1.758</v>
      </c>
      <c r="D2" s="5">
        <v>640634</v>
      </c>
      <c r="F2" s="1" t="s">
        <v>3</v>
      </c>
      <c r="G2" s="5">
        <v>932079</v>
      </c>
      <c r="I2" s="1" t="s">
        <v>8</v>
      </c>
    </row>
    <row r="3" spans="1:9" x14ac:dyDescent="0.3">
      <c r="A3" s="1">
        <v>2022</v>
      </c>
      <c r="B3" s="1">
        <v>1.6950000000000001</v>
      </c>
      <c r="C3" s="1">
        <f>((B3-B2)/B2)*100</f>
        <v>-3.58361774744027</v>
      </c>
      <c r="D3" s="5">
        <v>592760</v>
      </c>
      <c r="E3" s="1">
        <f>((D3-D2)/D2)*100</f>
        <v>-7.4729096488790798</v>
      </c>
      <c r="F3" s="1" t="s">
        <v>4</v>
      </c>
      <c r="G3" s="5">
        <v>1022718</v>
      </c>
      <c r="H3" s="1">
        <f>((G3-G2)/G2)*100</f>
        <v>9.7243903145548813</v>
      </c>
      <c r="I3" s="1" t="s">
        <v>9</v>
      </c>
    </row>
    <row r="4" spans="1:9" x14ac:dyDescent="0.3">
      <c r="A4" s="1">
        <v>2023</v>
      </c>
      <c r="B4" s="1">
        <v>1.601</v>
      </c>
      <c r="C4" s="1">
        <f t="shared" ref="C4:C6" si="0">((B4-B3)/B3)*100</f>
        <v>-5.5457227138643113</v>
      </c>
      <c r="D4" s="5">
        <v>504375</v>
      </c>
      <c r="E4" s="1">
        <f t="shared" ref="E4:E6" si="1">((D4-D3)/D3)*100</f>
        <v>-14.910756461299682</v>
      </c>
      <c r="F4" s="1" t="s">
        <v>5</v>
      </c>
      <c r="G4" s="5">
        <v>1194569</v>
      </c>
      <c r="H4" s="1">
        <f t="shared" ref="H4:H6" si="2">((G4-G3)/G3)*100</f>
        <v>16.803361239364126</v>
      </c>
      <c r="I4" s="1" t="s">
        <v>10</v>
      </c>
    </row>
    <row r="5" spans="1:9" x14ac:dyDescent="0.3">
      <c r="A5" s="1">
        <v>2024</v>
      </c>
      <c r="B5" s="1">
        <v>1.671</v>
      </c>
      <c r="C5" s="1">
        <f t="shared" si="0"/>
        <v>4.3722673329169304</v>
      </c>
      <c r="D5" s="5">
        <v>528941</v>
      </c>
      <c r="E5" s="1">
        <f t="shared" si="1"/>
        <v>4.8705824039653036</v>
      </c>
      <c r="F5" s="1" t="s">
        <v>6</v>
      </c>
      <c r="G5" s="5">
        <v>853432</v>
      </c>
      <c r="H5" s="1">
        <f t="shared" si="2"/>
        <v>-28.55732904503633</v>
      </c>
      <c r="I5" s="1" t="s">
        <v>11</v>
      </c>
    </row>
    <row r="6" spans="1:9" x14ac:dyDescent="0.3">
      <c r="A6" s="1">
        <v>2025</v>
      </c>
      <c r="B6" s="1">
        <v>1.1639999999999999</v>
      </c>
      <c r="C6" s="1">
        <f t="shared" si="0"/>
        <v>-30.341113105924599</v>
      </c>
      <c r="D6" s="5">
        <v>282553</v>
      </c>
      <c r="E6" s="1">
        <f t="shared" si="1"/>
        <v>-46.581376750904163</v>
      </c>
      <c r="F6" s="1" t="s">
        <v>7</v>
      </c>
      <c r="G6" s="5">
        <v>1414121</v>
      </c>
      <c r="H6" s="1">
        <f t="shared" si="2"/>
        <v>65.698145839387323</v>
      </c>
      <c r="I6" s="1" t="s">
        <v>12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D3BF8-E92A-4869-B5C0-B0C317C22B6A}">
  <dimension ref="A1:D4"/>
  <sheetViews>
    <sheetView tabSelected="1" zoomScale="103" workbookViewId="0">
      <selection activeCell="D5" sqref="A1:D5"/>
    </sheetView>
  </sheetViews>
  <sheetFormatPr defaultRowHeight="14.4" x14ac:dyDescent="0.3"/>
  <cols>
    <col min="1" max="1" width="19.88671875" style="1" customWidth="1"/>
    <col min="2" max="2" width="16.21875" style="1" customWidth="1"/>
    <col min="3" max="3" width="15.33203125" style="1" customWidth="1"/>
    <col min="4" max="4" width="14.88671875" style="1" customWidth="1"/>
    <col min="5" max="16384" width="8.88671875" style="1"/>
  </cols>
  <sheetData>
    <row r="1" spans="1:4" x14ac:dyDescent="0.3">
      <c r="A1" s="2" t="s">
        <v>13</v>
      </c>
      <c r="B1" s="1">
        <v>2024</v>
      </c>
      <c r="C1" s="1">
        <v>2025</v>
      </c>
      <c r="D1" s="2" t="s">
        <v>14</v>
      </c>
    </row>
    <row r="2" spans="1:4" x14ac:dyDescent="0.3">
      <c r="A2" s="1" t="s">
        <v>15</v>
      </c>
      <c r="B2" s="1" t="s">
        <v>21</v>
      </c>
      <c r="C2" s="1" t="s">
        <v>18</v>
      </c>
      <c r="D2" s="4">
        <v>-0.312</v>
      </c>
    </row>
    <row r="3" spans="1:4" x14ac:dyDescent="0.3">
      <c r="A3" s="1" t="s">
        <v>16</v>
      </c>
      <c r="B3" s="1" t="s">
        <v>22</v>
      </c>
      <c r="C3" s="1" t="s">
        <v>19</v>
      </c>
      <c r="D3" s="4">
        <v>-0.222</v>
      </c>
    </row>
    <row r="4" spans="1:4" x14ac:dyDescent="0.3">
      <c r="A4" s="1" t="s">
        <v>17</v>
      </c>
      <c r="B4" s="1" t="s">
        <v>23</v>
      </c>
      <c r="C4" s="1" t="s">
        <v>20</v>
      </c>
      <c r="D4" s="4">
        <v>-0.26500000000000001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787cc8-6943-4e55-bd59-df2e7fd8bcd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86AA57C01A3040B7BBE28B23C95FDC" ma:contentTypeVersion="6" ma:contentTypeDescription="Create a new document." ma:contentTypeScope="" ma:versionID="3967fa834952c1ff49526702da7562a3">
  <xsd:schema xmlns:xsd="http://www.w3.org/2001/XMLSchema" xmlns:xs="http://www.w3.org/2001/XMLSchema" xmlns:p="http://schemas.microsoft.com/office/2006/metadata/properties" xmlns:ns3="5d787cc8-6943-4e55-bd59-df2e7fd8bcd0" targetNamespace="http://schemas.microsoft.com/office/2006/metadata/properties" ma:root="true" ma:fieldsID="c6f30cc827dbae42cd78d05a5070b3ff" ns3:_="">
    <xsd:import namespace="5d787cc8-6943-4e55-bd59-df2e7fd8bcd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787cc8-6943-4e55-bd59-df2e7fd8bc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6296CE-F402-4B29-886A-CFF0D6280E36}">
  <ds:schemaRefs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dcmitype/"/>
    <ds:schemaRef ds:uri="5d787cc8-6943-4e55-bd59-df2e7fd8bcd0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E69B9D6F-859D-4CC6-BFF2-32A3FD4176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3E5C88-A205-4F27-A21D-4B59BB59B3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787cc8-6943-4e55-bd59-df2e7fd8bc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Sambaraju</dc:creator>
  <cp:lastModifiedBy>Teja Sambaraju</cp:lastModifiedBy>
  <dcterms:created xsi:type="dcterms:W3CDTF">2026-05-28T20:35:14Z</dcterms:created>
  <dcterms:modified xsi:type="dcterms:W3CDTF">2026-06-08T22:46:57Z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0x010100BE86AA57C01A3040B7BBE28B23C95FDC</vt:lpwstr>
  </property>
</Properties>
</file>